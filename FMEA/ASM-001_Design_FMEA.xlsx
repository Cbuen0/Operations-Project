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<sst xmlns="http://schemas.openxmlformats.org/spreadsheetml/2006/main" count="51" uniqueCount="51">
  <si>
    <t>Item</t>
  </si>
  <si>
    <t>Function</t>
  </si>
  <si>
    <t>Failure Mode</t>
  </si>
  <si>
    <t>Effect</t>
  </si>
  <si>
    <t>Severity</t>
  </si>
  <si>
    <t>Cause</t>
  </si>
  <si>
    <t>Ocuurance</t>
  </si>
  <si>
    <t>Controls</t>
  </si>
  <si>
    <t>Detection</t>
  </si>
  <si>
    <t>RPN</t>
  </si>
  <si>
    <t>Action?</t>
  </si>
  <si>
    <t>Mounting Holes</t>
  </si>
  <si>
    <t>Fastener loosening under vibration</t>
  </si>
  <si>
    <t>Sensor misalignment, data corruption</t>
  </si>
  <si>
    <t>Insufficient torque, vibration</t>
  </si>
  <si>
    <t>Torque spec 8 ft-lb, inspection</t>
  </si>
  <si>
    <t>Bracket Fillet</t>
  </si>
  <si>
    <t>Wear crack at inner fillet</t>
  </si>
  <si>
    <t>Structural failure, sensor loss</t>
  </si>
  <si>
    <t>Sensor mass causes bending</t>
  </si>
  <si>
    <t>0.25in fillet radius, inspection</t>
  </si>
  <si>
    <t>Sensor Bore</t>
  </si>
  <si>
    <t xml:space="preserve">Sensor misalignment </t>
  </si>
  <si>
    <t>Inaccurate air data readings</t>
  </si>
  <si>
    <t>Improper installation, worn bore</t>
  </si>
  <si>
    <t>Cylindrical mate tolerance, install procedure</t>
  </si>
  <si>
    <t>Base Plate</t>
  </si>
  <si>
    <t>Damaged under 9G load</t>
  </si>
  <si>
    <t>Permanent deformation, sensor loss</t>
  </si>
  <si>
    <t>Higher load than spec</t>
  </si>
  <si>
    <t>6061-Aluminium material, load analysis</t>
  </si>
  <si>
    <t>Mounting Surface</t>
  </si>
  <si>
    <t>Corrosion at interface</t>
  </si>
  <si>
    <t>Fastener stripped, bracket loosening</t>
  </si>
  <si>
    <t>Aluminum/steel contact without isolation</t>
  </si>
  <si>
    <t>Inspect coating, use isolating washers</t>
  </si>
  <si>
    <t>Sensor Body</t>
  </si>
  <si>
    <t>Sensor ejection from bore</t>
  </si>
  <si>
    <t>Damage to aircraft</t>
  </si>
  <si>
    <t>Fastener failure, bore wear</t>
  </si>
  <si>
    <t>Pre-flight inspection</t>
  </si>
  <si>
    <t>Bracket Wall</t>
  </si>
  <si>
    <t>Buckling under compression</t>
  </si>
  <si>
    <t>Loss of sensor positioning</t>
  </si>
  <si>
    <t>Lateral impact or overload</t>
  </si>
  <si>
    <t>0.5in wall thickness, material spec</t>
  </si>
  <si>
    <t>Drawing/Config</t>
  </si>
  <si>
    <t>Wrong part installed</t>
  </si>
  <si>
    <t>Sensor wont fit</t>
  </si>
  <si>
    <t>Configuration management failure</t>
  </si>
  <si>
    <t>Drawing number ASM-001, revision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</si>
</sst>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66370"/>
          <bgColor rgb="FF56637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66370"/>
        </left>
        <right style="thin">
          <color rgb="FF566370"/>
        </right>
        <top style="thin">
          <color rgb="FF566370"/>
        </top>
        <bottom style="thin">
          <color rgb="FF566370"/>
        </bottom>
      </border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000000"/>
      </font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9" displayName="FMEA" name="FMEA" id="1">
  <tableColumns count="11">
    <tableColumn name="Item" id="1"/>
    <tableColumn name="Function" id="2"/>
    <tableColumn name="Failure Mode" id="3"/>
    <tableColumn name="Effect" id="4"/>
    <tableColumn name="Severity" id="5"/>
    <tableColumn name="Cause" id="6"/>
    <tableColumn name="Ocuurance" id="7"/>
    <tableColumn name="Controls" id="8"/>
    <tableColumn name="Detection" id="9"/>
    <tableColumn name="RPN" id="10"/>
    <tableColumn name="Action?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13"/>
    <col customWidth="1" min="3" max="3" width="27.75"/>
    <col customWidth="1" min="4" max="4" width="30.0"/>
    <col customWidth="1" min="5" max="5" width="11.63"/>
    <col customWidth="1" min="6" max="6" width="32.88"/>
    <col customWidth="1" min="7" max="7" width="13.5"/>
    <col customWidth="1" min="8" max="8" width="34.5"/>
    <col customWidth="1" min="9" max="9" width="13.25"/>
    <col customWidth="1" min="12" max="12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22.5" customHeight="1">
      <c r="A2" s="3" t="s">
        <v>11</v>
      </c>
      <c r="B2" s="4"/>
      <c r="C2" s="3" t="s">
        <v>12</v>
      </c>
      <c r="D2" s="3" t="s">
        <v>13</v>
      </c>
      <c r="E2" s="3">
        <v>8.0</v>
      </c>
      <c r="F2" s="3" t="s">
        <v>14</v>
      </c>
      <c r="G2" s="3">
        <v>4.0</v>
      </c>
      <c r="H2" s="3" t="s">
        <v>15</v>
      </c>
      <c r="I2" s="3">
        <v>3.0</v>
      </c>
      <c r="J2" s="5">
        <v>96.0</v>
      </c>
      <c r="K2" s="6" t="str">
        <f t="shared" ref="K2:K9" si="1">IF(OR(E2&gt;=10, J2&gt;=100), "YES", "MONITOR")</f>
        <v>MONITOR</v>
      </c>
    </row>
    <row r="3" ht="22.5" customHeight="1">
      <c r="A3" s="3" t="s">
        <v>16</v>
      </c>
      <c r="B3" s="4"/>
      <c r="C3" s="3" t="s">
        <v>17</v>
      </c>
      <c r="D3" s="3" t="s">
        <v>18</v>
      </c>
      <c r="E3" s="3">
        <v>9.0</v>
      </c>
      <c r="F3" s="3" t="s">
        <v>19</v>
      </c>
      <c r="G3" s="3">
        <v>3.0</v>
      </c>
      <c r="H3" s="3" t="s">
        <v>20</v>
      </c>
      <c r="I3" s="3">
        <v>4.0</v>
      </c>
      <c r="J3" s="5">
        <v>108.0</v>
      </c>
      <c r="K3" s="6" t="str">
        <f t="shared" si="1"/>
        <v>YES</v>
      </c>
    </row>
    <row r="4" ht="22.5" customHeight="1">
      <c r="A4" s="3" t="s">
        <v>21</v>
      </c>
      <c r="B4" s="4"/>
      <c r="C4" s="3" t="s">
        <v>22</v>
      </c>
      <c r="D4" s="3" t="s">
        <v>23</v>
      </c>
      <c r="E4" s="3">
        <v>7.0</v>
      </c>
      <c r="F4" s="3" t="s">
        <v>24</v>
      </c>
      <c r="G4" s="3">
        <v>3.0</v>
      </c>
      <c r="H4" s="3" t="s">
        <v>25</v>
      </c>
      <c r="I4" s="3">
        <v>3.0</v>
      </c>
      <c r="J4" s="5">
        <v>63.0</v>
      </c>
      <c r="K4" s="6" t="str">
        <f t="shared" si="1"/>
        <v>MONITOR</v>
      </c>
    </row>
    <row r="5" ht="22.5" customHeight="1">
      <c r="A5" s="3" t="s">
        <v>26</v>
      </c>
      <c r="B5" s="4"/>
      <c r="C5" s="3" t="s">
        <v>27</v>
      </c>
      <c r="D5" s="3" t="s">
        <v>28</v>
      </c>
      <c r="E5" s="3">
        <v>8.0</v>
      </c>
      <c r="F5" s="3" t="s">
        <v>29</v>
      </c>
      <c r="G5" s="3">
        <v>2.0</v>
      </c>
      <c r="H5" s="3" t="s">
        <v>30</v>
      </c>
      <c r="I5" s="3">
        <v>3.0</v>
      </c>
      <c r="J5" s="5">
        <v>48.0</v>
      </c>
      <c r="K5" s="6" t="str">
        <f t="shared" si="1"/>
        <v>MONITOR</v>
      </c>
    </row>
    <row r="6" ht="22.5" customHeight="1">
      <c r="A6" s="3" t="s">
        <v>31</v>
      </c>
      <c r="B6" s="4"/>
      <c r="C6" s="3" t="s">
        <v>32</v>
      </c>
      <c r="D6" s="3" t="s">
        <v>33</v>
      </c>
      <c r="E6" s="3">
        <v>6.0</v>
      </c>
      <c r="F6" s="3" t="s">
        <v>34</v>
      </c>
      <c r="G6" s="3">
        <v>4.0</v>
      </c>
      <c r="H6" s="3" t="s">
        <v>35</v>
      </c>
      <c r="I6" s="3">
        <v>4.0</v>
      </c>
      <c r="J6" s="5">
        <v>96.0</v>
      </c>
      <c r="K6" s="6" t="str">
        <f t="shared" si="1"/>
        <v>MONITOR</v>
      </c>
    </row>
    <row r="7" ht="22.5" customHeight="1">
      <c r="A7" s="3" t="s">
        <v>36</v>
      </c>
      <c r="B7" s="4"/>
      <c r="C7" s="3" t="s">
        <v>37</v>
      </c>
      <c r="D7" s="3" t="s">
        <v>38</v>
      </c>
      <c r="E7" s="3">
        <v>10.0</v>
      </c>
      <c r="F7" s="3" t="s">
        <v>39</v>
      </c>
      <c r="G7" s="3">
        <v>2.0</v>
      </c>
      <c r="H7" s="3" t="s">
        <v>40</v>
      </c>
      <c r="I7" s="3">
        <v>2.0</v>
      </c>
      <c r="J7" s="5">
        <v>40.0</v>
      </c>
      <c r="K7" s="6" t="str">
        <f t="shared" si="1"/>
        <v>YES</v>
      </c>
    </row>
    <row r="8" ht="22.5" customHeight="1">
      <c r="A8" s="3" t="s">
        <v>41</v>
      </c>
      <c r="B8" s="4"/>
      <c r="C8" s="3" t="s">
        <v>42</v>
      </c>
      <c r="D8" s="3" t="s">
        <v>43</v>
      </c>
      <c r="E8" s="3">
        <v>7.0</v>
      </c>
      <c r="F8" s="3" t="s">
        <v>44</v>
      </c>
      <c r="G8" s="3">
        <v>2.0</v>
      </c>
      <c r="H8" s="3" t="s">
        <v>45</v>
      </c>
      <c r="I8" s="3">
        <v>4.0</v>
      </c>
      <c r="J8" s="5">
        <v>56.0</v>
      </c>
      <c r="K8" s="6" t="str">
        <f t="shared" si="1"/>
        <v>MONITOR</v>
      </c>
    </row>
    <row r="9" ht="22.5" customHeight="1">
      <c r="A9" s="3" t="s">
        <v>46</v>
      </c>
      <c r="B9" s="4"/>
      <c r="C9" s="3" t="s">
        <v>47</v>
      </c>
      <c r="D9" s="3" t="s">
        <v>48</v>
      </c>
      <c r="E9" s="3">
        <v>6.0</v>
      </c>
      <c r="F9" s="3" t="s">
        <v>49</v>
      </c>
      <c r="G9" s="3">
        <v>2.0</v>
      </c>
      <c r="H9" s="3" t="s">
        <v>50</v>
      </c>
      <c r="I9" s="3">
        <v>2.0</v>
      </c>
      <c r="J9" s="5">
        <v>32.0</v>
      </c>
      <c r="K9" s="6" t="str">
        <f t="shared" si="1"/>
        <v>MONITOR</v>
      </c>
    </row>
  </sheetData>
  <conditionalFormatting sqref="J2:J9">
    <cfRule type="cellIs" dxfId="5" priority="1" operator="greaterThan">
      <formula>100</formula>
    </cfRule>
  </conditionalFormatting>
  <conditionalFormatting sqref="J2:J9">
    <cfRule type="cellIs" dxfId="6" priority="2" operator="lessThan">
      <formula>50</formula>
    </cfRule>
  </conditionalFormatting>
  <conditionalFormatting sqref="J2:J9">
    <cfRule type="cellIs" dxfId="7" priority="3" operator="between">
      <formula>50</formula>
      <formula>99</formula>
    </cfRule>
  </conditionalFormatting>
  <conditionalFormatting sqref="E2:E9">
    <cfRule type="cellIs" dxfId="5" priority="4" operator="greaterThan">
      <formula>9</formula>
    </cfRule>
  </conditionalFormatting>
  <conditionalFormatting sqref="K2:K9">
    <cfRule type="containsText" dxfId="5" priority="5" operator="containsText" text="Yes">
      <formula>NOT(ISERROR(SEARCH(("Yes"),(K2))))</formula>
    </cfRule>
  </conditionalFormatting>
  <conditionalFormatting sqref="K2:K9">
    <cfRule type="containsText" dxfId="8" priority="6" operator="containsText" text="MONITOR">
      <formula>NOT(ISERROR(SEARCH(("MONITOR"),(K2))))</formula>
    </cfRule>
  </conditionalFormatting>
  <conditionalFormatting sqref="A2:K9">
    <cfRule type="expression" dxfId="5" priority="7">
      <formula>$K2="YES"</formula>
    </cfRule>
  </conditionalFormatting>
  <drawing r:id="rId1"/>
  <tableParts count="1">
    <tablePart r:id="rId3"/>
  </tableParts>
</worksheet>
</file>